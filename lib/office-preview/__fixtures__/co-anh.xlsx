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phu\AppData\Local\Temp\claude\d--Phuoc-AI-CV-Team\379bced4-07c4-41e3-b1cc-a103093625b2\scratchpad\mau-anh\"/>
    </mc:Choice>
  </mc:AlternateContent>
  <xr:revisionPtr revIDLastSave="0" documentId="8_{74D538B2-82A1-4514-8842-7596B315C7EC}" xr6:coauthVersionLast="47" xr6:coauthVersionMax="47" xr10:uidLastSave="{00000000-0000-0000-0000-000000000000}"/>
  <bookViews>
    <workbookView xWindow="-108" yWindow="-108" windowWidth="23256" windowHeight="13896" xr2:uid="{7F0319D1-26A2-4617-9253-4C177106F9AA}"/>
  </bookViews>
  <sheets>
    <sheet name="Tole mái" sheetId="1" r:id="rId1"/>
    <sheet name="Diềm theo trụ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G9" i="1"/>
  <c r="G8" i="1"/>
  <c r="G7" i="1"/>
  <c r="G6" i="1"/>
</calcChain>
</file>

<file path=xl/sharedStrings.xml><?xml version="1.0" encoding="utf-8"?>
<sst xmlns="http://schemas.openxmlformats.org/spreadsheetml/2006/main" count="43" uniqueCount="40">
  <si>
    <t>BẢNG THỐNG KÊ TOLE MÁI - VÁCH</t>
  </si>
  <si>
    <t>Công trình: AID-TEXT  |  Hạng mục: Xưởng 01</t>
  </si>
  <si>
    <t>STT</t>
  </si>
  <si>
    <t>Tên vật tư</t>
  </si>
  <si>
    <t>Quy cách</t>
  </si>
  <si>
    <t>ĐVT</t>
  </si>
  <si>
    <t>Chiều dài (m)</t>
  </si>
  <si>
    <t>Số lượng</t>
  </si>
  <si>
    <t>Tổng (m)</t>
  </si>
  <si>
    <t>Tole mái 5 sóng</t>
  </si>
  <si>
    <t>0.45mm AZ150</t>
  </si>
  <si>
    <t>Tấm</t>
  </si>
  <si>
    <t>Tole vách 9 sóng</t>
  </si>
  <si>
    <t>0.40mm AZ100</t>
  </si>
  <si>
    <t>Diềm mái D-01</t>
  </si>
  <si>
    <t>0.45mm, khổ 400</t>
  </si>
  <si>
    <t>Cây</t>
  </si>
  <si>
    <t>Máng xối inox</t>
  </si>
  <si>
    <t>Inox 304 dày 0.5mm</t>
  </si>
  <si>
    <t>Đai treo máng xối</t>
  </si>
  <si>
    <t>Inox W=790</t>
  </si>
  <si>
    <t>Cái</t>
  </si>
  <si>
    <t>Vít bắn tole</t>
  </si>
  <si>
    <t>12-14x55</t>
  </si>
  <si>
    <t>Con</t>
  </si>
  <si>
    <t>TỔNG CỘNG</t>
  </si>
  <si>
    <t>Ảnh hiện trường 01/10/2026</t>
  </si>
  <si>
    <t>Trục</t>
  </si>
  <si>
    <t>Xưởng</t>
  </si>
  <si>
    <t>Diềm</t>
  </si>
  <si>
    <t>Dài (m)</t>
  </si>
  <si>
    <t>A-B</t>
  </si>
  <si>
    <t>X01</t>
  </si>
  <si>
    <t>D-01</t>
  </si>
  <si>
    <t>B-C</t>
  </si>
  <si>
    <t>DCC-01</t>
  </si>
  <si>
    <t>C-D</t>
  </si>
  <si>
    <t>X02</t>
  </si>
  <si>
    <t>DC-03c</t>
  </si>
  <si>
    <t>Mặt cắt máng xối W=750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</si>
</sst>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4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1</xdr:col>
      <xdr:colOff>1465580</xdr:colOff>
      <xdr:row>1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008202-7C48-6EE2-86B7-23C6AA5477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1905000" cy="584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14</xdr:col>
      <xdr:colOff>0</xdr:colOff>
      <xdr:row>14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FBE164-B787-4592-8C06-1098FE2BF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680" y="1112520"/>
          <a:ext cx="3048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8</xdr:col>
      <xdr:colOff>76200</xdr:colOff>
      <xdr:row>7</xdr:row>
      <xdr:rowOff>172720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C60825-CB25-8DE8-B255-3AFB0CC3A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82880"/>
          <a:ext cx="1905000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5407-330F-4968-9CBD-F3D8D2613643}">
  <dimension ref="A1:J12"/>
  <sheetViews>
    <sheetView tabSelected="1" workbookViewId="0"/>
  </sheetViews>
  <sheetFormatPr defaultRowHeight="14.4" x14ac:dyDescent="0.3"/>
  <cols>
    <col min="1" max="1" width="6.77734375" customWidth="1"/>
    <col min="2" max="2" width="22.77734375" customWidth="1"/>
    <col min="3" max="3" width="20.77734375" customWidth="1"/>
    <col min="4" max="4" width="7.77734375" customWidth="1"/>
    <col min="5" max="5" width="13.77734375" customWidth="1"/>
    <col min="6" max="6" width="10.77734375" customWidth="1"/>
    <col min="7" max="7" width="11.77734375" customWidth="1"/>
    <col min="9" max="9" width="3.77734375" customWidth="1"/>
  </cols>
  <sheetData>
    <row r="1" spans="1:10" ht="30" customHeight="1" x14ac:dyDescent="0.35">
      <c r="C1" s="2" t="s">
        <v>0</v>
      </c>
      <c r="D1" s="1"/>
      <c r="E1" s="1"/>
      <c r="F1" s="1"/>
      <c r="G1" s="1"/>
    </row>
    <row r="2" spans="1:10" ht="22.05" customHeight="1" x14ac:dyDescent="0.3">
      <c r="C2" s="1" t="s">
        <v>1</v>
      </c>
      <c r="D2" s="1"/>
      <c r="E2" s="1"/>
      <c r="F2" s="1"/>
      <c r="G2" s="1"/>
    </row>
    <row r="3" spans="1:10" ht="22.05" customHeight="1" x14ac:dyDescent="0.3"/>
    <row r="4" spans="1:10" x14ac:dyDescent="0.3">
      <c r="J4" s="8" t="s">
        <v>26</v>
      </c>
    </row>
    <row r="5" spans="1:10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10" x14ac:dyDescent="0.3">
      <c r="A6" s="4">
        <v>1</v>
      </c>
      <c r="B6" s="4" t="s">
        <v>9</v>
      </c>
      <c r="C6" s="4" t="s">
        <v>10</v>
      </c>
      <c r="D6" s="4" t="s">
        <v>11</v>
      </c>
      <c r="E6" s="5">
        <v>12.5</v>
      </c>
      <c r="F6" s="4">
        <v>64</v>
      </c>
      <c r="G6" s="5">
        <f>E6*F6</f>
        <v>800</v>
      </c>
    </row>
    <row r="7" spans="1:10" x14ac:dyDescent="0.3">
      <c r="A7" s="4">
        <v>2</v>
      </c>
      <c r="B7" s="4" t="s">
        <v>12</v>
      </c>
      <c r="C7" s="4" t="s">
        <v>13</v>
      </c>
      <c r="D7" s="4" t="s">
        <v>11</v>
      </c>
      <c r="E7" s="5">
        <v>8.1999999999999993</v>
      </c>
      <c r="F7" s="4">
        <v>120</v>
      </c>
      <c r="G7" s="5">
        <f>E7*F7</f>
        <v>983.99999999999989</v>
      </c>
    </row>
    <row r="8" spans="1:10" x14ac:dyDescent="0.3">
      <c r="A8" s="4">
        <v>3</v>
      </c>
      <c r="B8" s="4" t="s">
        <v>14</v>
      </c>
      <c r="C8" s="4" t="s">
        <v>15</v>
      </c>
      <c r="D8" s="4" t="s">
        <v>16</v>
      </c>
      <c r="E8" s="5">
        <v>6</v>
      </c>
      <c r="F8" s="4">
        <v>36</v>
      </c>
      <c r="G8" s="5">
        <f>E8*F8</f>
        <v>216</v>
      </c>
    </row>
    <row r="9" spans="1:10" x14ac:dyDescent="0.3">
      <c r="A9" s="4">
        <v>4</v>
      </c>
      <c r="B9" s="4" t="s">
        <v>17</v>
      </c>
      <c r="C9" s="4" t="s">
        <v>18</v>
      </c>
      <c r="D9" s="4" t="s">
        <v>16</v>
      </c>
      <c r="E9" s="5">
        <v>6</v>
      </c>
      <c r="F9" s="4">
        <v>70</v>
      </c>
      <c r="G9" s="5">
        <f>E9*F9</f>
        <v>420</v>
      </c>
    </row>
    <row r="10" spans="1:10" x14ac:dyDescent="0.3">
      <c r="A10" s="4">
        <v>5</v>
      </c>
      <c r="B10" s="4" t="s">
        <v>19</v>
      </c>
      <c r="C10" s="4" t="s">
        <v>20</v>
      </c>
      <c r="D10" s="4" t="s">
        <v>21</v>
      </c>
      <c r="E10" s="5"/>
      <c r="F10" s="4">
        <v>414</v>
      </c>
      <c r="G10" s="5"/>
    </row>
    <row r="11" spans="1:10" x14ac:dyDescent="0.3">
      <c r="A11" s="4">
        <v>6</v>
      </c>
      <c r="B11" s="4" t="s">
        <v>22</v>
      </c>
      <c r="C11" s="4" t="s">
        <v>23</v>
      </c>
      <c r="D11" s="4" t="s">
        <v>24</v>
      </c>
      <c r="E11" s="5"/>
      <c r="F11" s="4">
        <v>2500</v>
      </c>
      <c r="G11" s="5"/>
    </row>
    <row r="12" spans="1:10" x14ac:dyDescent="0.3">
      <c r="A12" s="4"/>
      <c r="B12" s="6" t="s">
        <v>25</v>
      </c>
      <c r="C12" s="6"/>
      <c r="D12" s="6"/>
      <c r="E12" s="6"/>
      <c r="F12" s="6"/>
      <c r="G12" s="7">
        <f>SUM(G6:G11)</f>
        <v>2420</v>
      </c>
    </row>
  </sheetData>
  <mergeCells count="3">
    <mergeCell ref="C1:G1"/>
    <mergeCell ref="C2:G2"/>
    <mergeCell ref="B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1B0A-270E-4EAD-8266-33453084B037}">
  <dimension ref="A1:F4"/>
  <sheetViews>
    <sheetView workbookViewId="0"/>
  </sheetViews>
  <sheetFormatPr defaultRowHeight="14.4" x14ac:dyDescent="0.3"/>
  <sheetData>
    <row r="1" spans="1:6" x14ac:dyDescent="0.3">
      <c r="A1" s="3" t="s">
        <v>27</v>
      </c>
      <c r="B1" s="3" t="s">
        <v>28</v>
      </c>
      <c r="C1" s="3" t="s">
        <v>29</v>
      </c>
      <c r="D1" s="3" t="s">
        <v>30</v>
      </c>
      <c r="F1" s="8" t="s">
        <v>39</v>
      </c>
    </row>
    <row r="2" spans="1:6" x14ac:dyDescent="0.3">
      <c r="A2" s="4" t="s">
        <v>31</v>
      </c>
      <c r="B2" s="4" t="s">
        <v>32</v>
      </c>
      <c r="C2" s="4" t="s">
        <v>33</v>
      </c>
      <c r="D2" s="4">
        <v>24</v>
      </c>
    </row>
    <row r="3" spans="1:6" x14ac:dyDescent="0.3">
      <c r="A3" s="4" t="s">
        <v>34</v>
      </c>
      <c r="B3" s="4" t="s">
        <v>32</v>
      </c>
      <c r="C3" s="4" t="s">
        <v>35</v>
      </c>
      <c r="D3" s="4">
        <v>18.5</v>
      </c>
    </row>
    <row r="4" spans="1:6" x14ac:dyDescent="0.3">
      <c r="A4" s="4" t="s">
        <v>36</v>
      </c>
      <c r="B4" s="4" t="s">
        <v>37</v>
      </c>
      <c r="C4" s="4" t="s">
        <v>38</v>
      </c>
      <c r="D4" s="4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Tole mái</vt:lpstr>
      <vt:lpstr>Diềm theo trục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Nguyễn</dc:creator>
  <cp:lastModifiedBy>Phước Nguyễn</cp:lastModifiedBy>
  <dcterms:created xsi:type="dcterms:W3CDTF">2026-10-02T04:28:57Z</dcterms:created>
  <dcterms:modified xsi:type="dcterms:W3CDTF">2026-10-02T04:28:59Z</dcterms:modified>
</cp:coreProperties>
</file>